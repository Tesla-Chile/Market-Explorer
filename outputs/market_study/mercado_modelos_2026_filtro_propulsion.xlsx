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hirs\Documents\Calculo MS Tesla\outputs\market_study\"/>
    </mc:Choice>
  </mc:AlternateContent>
  <xr:revisionPtr revIDLastSave="0" documentId="13_ncr:1_{B20FBF02-0C1D-4D0B-B7BA-92DDD4E9D2C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CB filtrado 2026" sheetId="1" r:id="rId1"/>
    <sheet name="Supuest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1" l="1"/>
  <c r="H28" i="1"/>
  <c r="H27" i="1"/>
  <c r="H26" i="1"/>
  <c r="H25" i="1"/>
  <c r="H24" i="1"/>
  <c r="H23" i="1"/>
  <c r="H16" i="1"/>
  <c r="H15" i="1"/>
  <c r="H14" i="1"/>
  <c r="H13" i="1"/>
  <c r="H12" i="1"/>
  <c r="H11" i="1"/>
  <c r="H10" i="1"/>
  <c r="H9" i="1"/>
  <c r="H8" i="1"/>
  <c r="H7" i="1"/>
</calcChain>
</file>

<file path=xl/sharedStrings.xml><?xml version="1.0" encoding="utf-8"?>
<sst xmlns="http://schemas.openxmlformats.org/spreadsheetml/2006/main" count="97" uniqueCount="72">
  <si>
    <t>Ranking</t>
  </si>
  <si>
    <t>Marca</t>
  </si>
  <si>
    <t>Modelo</t>
  </si>
  <si>
    <t>Tipo de propulsión</t>
  </si>
  <si>
    <t>Starting price</t>
  </si>
  <si>
    <t>MS 2026</t>
  </si>
  <si>
    <t>TESLA</t>
  </si>
  <si>
    <t>MODEL Y</t>
  </si>
  <si>
    <t>TOYOTA</t>
  </si>
  <si>
    <t>RAV4</t>
  </si>
  <si>
    <t>FORD</t>
  </si>
  <si>
    <t>TERRITORY</t>
  </si>
  <si>
    <t>HYUNDAI</t>
  </si>
  <si>
    <t>TUCSON NX4E HEV</t>
  </si>
  <si>
    <t>BYD</t>
  </si>
  <si>
    <t>SONG PLUS 1.5T</t>
  </si>
  <si>
    <t>VOLVO</t>
  </si>
  <si>
    <t>EX30</t>
  </si>
  <si>
    <t>CHANGAN</t>
  </si>
  <si>
    <t>DEEPAL S05</t>
  </si>
  <si>
    <t>DEEPAL S07</t>
  </si>
  <si>
    <t>LEAPMOTOR</t>
  </si>
  <si>
    <t>C10</t>
  </si>
  <si>
    <t>RESTO</t>
  </si>
  <si>
    <t>Modelos restantes</t>
  </si>
  <si>
    <t>MODEL 3</t>
  </si>
  <si>
    <t>COROLLA</t>
  </si>
  <si>
    <t>EADO PLUS IDD</t>
  </si>
  <si>
    <t>FIAT</t>
  </si>
  <si>
    <t>500E</t>
  </si>
  <si>
    <t>MG</t>
  </si>
  <si>
    <t>MG4</t>
  </si>
  <si>
    <t>MINI</t>
  </si>
  <si>
    <t>ACEMAN</t>
  </si>
  <si>
    <t>Campo</t>
  </si>
  <si>
    <t>Detalle</t>
  </si>
  <si>
    <t>Fuente</t>
  </si>
  <si>
    <t>C:\Users\thirs\Documents\Calculo MS Tesla\inputs\data (33).xlsx</t>
  </si>
  <si>
    <t>Hoja fuente</t>
  </si>
  <si>
    <t>Export</t>
  </si>
  <si>
    <t>Año incluido</t>
  </si>
  <si>
    <t>2026</t>
  </si>
  <si>
    <t>CB excluidos</t>
  </si>
  <si>
    <t>Diesel, Flex Fuel, Gasolina, Mild Hybrid - Diesel, Mild Hybrid - Gasolina</t>
  </si>
  <si>
    <t>CB incluidos</t>
  </si>
  <si>
    <t>Electricidad, Eléctrico De Rango Extendido, Eléctrico De Rango Extendido Enchufable, Híbrido Gasolina Enchufable, Híbrido Gasolina</t>
  </si>
  <si>
    <t>Filtro SUV</t>
  </si>
  <si>
    <t>$30.000.000 a $50.000.000 CLP sobre promedio precio lista del modelo.</t>
  </si>
  <si>
    <t>Filtro Vehículo de Pasajeros</t>
  </si>
  <si>
    <t>$25.000.000 a $50.000.000 CLP sobre promedio precio lista del modelo.</t>
  </si>
  <si>
    <t>Ajustes manuales</t>
  </si>
  <si>
    <t>Se combinaron variantes equivalentes y se movieron modelos solicitados a RESTO.</t>
  </si>
  <si>
    <t>Valor tomado desde la columna CB del archivo fuente. RESTO agrupa varios modelos.</t>
  </si>
  <si>
    <t>Market share</t>
  </si>
  <si>
    <t>Demanda Anual 2026 del modelo dividido por Demanda Anual 2026 total del mercado seleccionado.</t>
  </si>
  <si>
    <t>Método</t>
  </si>
  <si>
    <t>Primero se excluyen los valores CB solicitados. Luego las versiones se agrupan a nivel modelo-trimestre. El promedio precio lista se pondera por Demanda Anual. Los filtros de precio se aplican sobre ese promedio precio lista del modelo y el ranking se basa en Demanda Anual 2026.</t>
  </si>
  <si>
    <t>$29.900.000/$35.900.000</t>
  </si>
  <si>
    <t>Power Train</t>
  </si>
  <si>
    <t>BEV</t>
  </si>
  <si>
    <t>HEV</t>
  </si>
  <si>
    <t>PHEV</t>
  </si>
  <si>
    <t>EREV</t>
  </si>
  <si>
    <t>EREV/BEV</t>
  </si>
  <si>
    <t>BEV/HEV/PHEV/EREV</t>
  </si>
  <si>
    <t>Average List Price</t>
  </si>
  <si>
    <t>Anual Demand 2026</t>
  </si>
  <si>
    <t>2026: 1,063 Anual Demand</t>
  </si>
  <si>
    <t>2026: 5,906 Anual Demand</t>
  </si>
  <si>
    <t>SUV | bracket $30,000,000 to $50,000,000 CLP | Low &amp; Zero Emissions | 2026</t>
  </si>
  <si>
    <t>Passanger Vehicles | bracket $25,000,000 to $50,000,000 CLP | Low &amp; Zero Emissions | 2026</t>
  </si>
  <si>
    <t>Tesla Competition Study | Low &amp; Zero Emissions |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</si>
</sst>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0.0%"/>
  </numFmts>
  <fonts count="6">
    <font>
      <sz val="11"/>
      <name val="Carlito"/>
    </font>
    <font>
      <b/>
      <sz val="15"/>
      <color rgb="FFFFFFFF"/>
      <name val="Carlito"/>
    </font>
    <font>
      <b/>
      <sz val="13"/>
      <color rgb="FFFFFFFF"/>
      <name val="Carlito"/>
    </font>
    <font>
      <sz val="11"/>
      <color rgb="FF173B45"/>
      <name val="Carlito"/>
    </font>
    <font>
      <b/>
      <sz val="11"/>
      <color rgb="FFFFFFFF"/>
      <name val="Carlito"/>
    </font>
    <font>
      <b/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0F252C"/>
      </patternFill>
    </fill>
    <fill>
      <patternFill patternType="solid">
        <fgColor rgb="FF15343D"/>
      </patternFill>
    </fill>
    <fill>
      <patternFill patternType="solid">
        <fgColor rgb="FFEAF3F6"/>
      </patternFill>
    </fill>
    <fill>
      <patternFill patternType="solid">
        <fgColor rgb="FF2F6F7E"/>
      </patternFill>
    </fill>
    <fill>
      <patternFill patternType="solid">
        <fgColor rgb="FFF3F7F9"/>
      </patternFill>
    </fill>
  </fills>
  <borders count="10">
    <border>
      <left/>
      <right/>
      <top/>
      <bottom/>
      <diagonal/>
    </border>
    <border>
      <left style="thin">
        <color rgb="FFD9E3E7"/>
      </left>
      <right style="thin">
        <color rgb="FFD9E3E7"/>
      </right>
      <top style="thin">
        <color rgb="FFD9E3E7"/>
      </top>
      <bottom style="thin">
        <color rgb="FFD9E3E7"/>
      </bottom>
      <diagonal/>
    </border>
    <border>
      <left style="medium">
        <color rgb="FF9BB5BD"/>
      </left>
      <right style="thin">
        <color rgb="FFD9E3E7"/>
      </right>
      <top style="medium">
        <color rgb="FF9BB5BD"/>
      </top>
      <bottom style="thin">
        <color rgb="FFD9E3E7"/>
      </bottom>
      <diagonal/>
    </border>
    <border>
      <left style="thin">
        <color rgb="FFD9E3E7"/>
      </left>
      <right style="thin">
        <color rgb="FFD9E3E7"/>
      </right>
      <top style="medium">
        <color rgb="FF9BB5BD"/>
      </top>
      <bottom style="thin">
        <color rgb="FFD9E3E7"/>
      </bottom>
      <diagonal/>
    </border>
    <border>
      <left style="thin">
        <color rgb="FFD9E3E7"/>
      </left>
      <right style="medium">
        <color rgb="FF9BB5BD"/>
      </right>
      <top style="medium">
        <color rgb="FF9BB5BD"/>
      </top>
      <bottom style="thin">
        <color rgb="FFD9E3E7"/>
      </bottom>
      <diagonal/>
    </border>
    <border>
      <left style="medium">
        <color rgb="FF9BB5BD"/>
      </left>
      <right style="thin">
        <color rgb="FFD9E3E7"/>
      </right>
      <top style="thin">
        <color rgb="FFD9E3E7"/>
      </top>
      <bottom style="thin">
        <color rgb="FFD9E3E7"/>
      </bottom>
      <diagonal/>
    </border>
    <border>
      <left style="thin">
        <color rgb="FFD9E3E7"/>
      </left>
      <right style="medium">
        <color rgb="FF9BB5BD"/>
      </right>
      <top style="thin">
        <color rgb="FFD9E3E7"/>
      </top>
      <bottom style="thin">
        <color rgb="FFD9E3E7"/>
      </bottom>
      <diagonal/>
    </border>
    <border>
      <left style="medium">
        <color rgb="FF9BB5BD"/>
      </left>
      <right style="thin">
        <color rgb="FFD9E3E7"/>
      </right>
      <top style="thin">
        <color rgb="FFD9E3E7"/>
      </top>
      <bottom style="medium">
        <color rgb="FF9BB5BD"/>
      </bottom>
      <diagonal/>
    </border>
    <border>
      <left style="thin">
        <color rgb="FFD9E3E7"/>
      </left>
      <right style="thin">
        <color rgb="FFD9E3E7"/>
      </right>
      <top style="thin">
        <color rgb="FFD9E3E7"/>
      </top>
      <bottom style="medium">
        <color rgb="FF9BB5BD"/>
      </bottom>
      <diagonal/>
    </border>
    <border>
      <left style="thin">
        <color rgb="FFD9E3E7"/>
      </left>
      <right style="medium">
        <color rgb="FF9BB5BD"/>
      </right>
      <top style="thin">
        <color rgb="FFD9E3E7"/>
      </top>
      <bottom style="medium">
        <color rgb="FF9BB5B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4" fillId="5" borderId="2" xfId="0" applyFont="1" applyFill="1" applyBorder="1"/>
    <xf numFmtId="0" fontId="4" fillId="5" borderId="3" xfId="0" applyFont="1" applyFill="1" applyBorder="1"/>
    <xf numFmtId="0" fontId="4" fillId="5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164" fontId="0" fillId="0" borderId="1" xfId="0" applyNumberFormat="1" applyBorder="1"/>
    <xf numFmtId="3" fontId="0" fillId="0" borderId="1" xfId="0" applyNumberFormat="1" applyBorder="1"/>
    <xf numFmtId="165" fontId="0" fillId="0" borderId="6" xfId="0" applyNumberFormat="1" applyBorder="1"/>
    <xf numFmtId="0" fontId="5" fillId="6" borderId="7" xfId="0" applyFont="1" applyFill="1" applyBorder="1"/>
    <xf numFmtId="0" fontId="5" fillId="6" borderId="8" xfId="0" applyFont="1" applyFill="1" applyBorder="1"/>
    <xf numFmtId="164" fontId="5" fillId="6" borderId="8" xfId="0" applyNumberFormat="1" applyFont="1" applyFill="1" applyBorder="1"/>
    <xf numFmtId="3" fontId="5" fillId="6" borderId="8" xfId="0" applyNumberFormat="1" applyFont="1" applyFill="1" applyBorder="1"/>
    <xf numFmtId="165" fontId="5" fillId="6" borderId="9" xfId="0" applyNumberFormat="1" applyFont="1" applyFill="1" applyBorder="1"/>
    <xf numFmtId="0" fontId="4" fillId="5" borderId="4" xfId="0" applyFont="1" applyFill="1" applyBorder="1" applyAlignment="1">
      <alignment wrapText="1"/>
    </xf>
    <xf numFmtId="0" fontId="4" fillId="5" borderId="3" xfId="0" applyFont="1" applyFill="1" applyBorder="1" applyAlignment="1">
      <alignment horizontal="left"/>
    </xf>
    <xf numFmtId="164" fontId="0" fillId="0" borderId="1" xfId="0" applyNumberFormat="1" applyBorder="1" applyAlignment="1">
      <alignment horizontal="right"/>
    </xf>
    <xf numFmtId="0" fontId="1" fillId="2" borderId="0" xfId="0" applyFont="1" applyFill="1"/>
    <xf numFmtId="0" fontId="0" fillId="0" borderId="0" xfId="0"/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showGridLines="0" tabSelected="1" zoomScale="67" workbookViewId="0">
      <selection activeCell="D36" sqref="D36"/>
    </sheetView>
  </sheetViews>
  <sheetFormatPr defaultRowHeight="13.5"/>
  <cols>
    <col min="1" max="1" width="12" customWidth="1"/>
    <col min="2" max="2" width="18" customWidth="1"/>
    <col min="3" max="3" width="36" customWidth="1"/>
    <col min="4" max="4" width="46" customWidth="1"/>
    <col min="5" max="5" width="22" customWidth="1"/>
    <col min="6" max="6" width="23.6875" customWidth="1"/>
    <col min="7" max="7" width="21" customWidth="1"/>
    <col min="8" max="8" width="14" customWidth="1"/>
  </cols>
  <sheetData>
    <row r="1" spans="1:8" ht="18.75">
      <c r="A1" s="20" t="s">
        <v>71</v>
      </c>
      <c r="B1" s="21"/>
      <c r="C1" s="21"/>
      <c r="D1" s="21"/>
      <c r="E1" s="21"/>
      <c r="F1" s="21"/>
      <c r="G1" s="21"/>
    </row>
    <row r="3" spans="1:8" ht="16.899999999999999">
      <c r="A3" s="22" t="s">
        <v>69</v>
      </c>
      <c r="B3" s="21"/>
      <c r="C3" s="21"/>
      <c r="D3" s="21"/>
      <c r="E3" s="21"/>
      <c r="F3" s="21"/>
      <c r="G3" s="21"/>
    </row>
    <row r="4" spans="1:8">
      <c r="A4" s="23" t="s">
        <v>68</v>
      </c>
      <c r="B4" s="21"/>
      <c r="C4" s="21"/>
      <c r="D4" s="21"/>
      <c r="E4" s="21"/>
      <c r="F4" s="21"/>
      <c r="G4" s="21"/>
    </row>
    <row r="6" spans="1:8" ht="13.9">
      <c r="A6" s="2" t="s">
        <v>0</v>
      </c>
      <c r="B6" s="3" t="s">
        <v>1</v>
      </c>
      <c r="C6" s="3" t="s">
        <v>2</v>
      </c>
      <c r="D6" s="3" t="s">
        <v>58</v>
      </c>
      <c r="E6" s="3" t="s">
        <v>65</v>
      </c>
      <c r="F6" s="18" t="s">
        <v>4</v>
      </c>
      <c r="G6" s="3" t="s">
        <v>66</v>
      </c>
      <c r="H6" s="4" t="s">
        <v>5</v>
      </c>
    </row>
    <row r="7" spans="1:8">
      <c r="A7" s="5">
        <v>1</v>
      </c>
      <c r="B7" s="1" t="s">
        <v>6</v>
      </c>
      <c r="C7" s="1" t="s">
        <v>7</v>
      </c>
      <c r="D7" s="1" t="s">
        <v>59</v>
      </c>
      <c r="E7" s="9">
        <v>44099133.574007221</v>
      </c>
      <c r="F7" s="9">
        <v>36900000</v>
      </c>
      <c r="G7" s="10">
        <v>846</v>
      </c>
      <c r="H7" s="11">
        <f t="shared" ref="H7:H16" si="0">G7/SUM($G$7:$G$16)</f>
        <v>0.14324415848289876</v>
      </c>
    </row>
    <row r="8" spans="1:8">
      <c r="A8" s="5">
        <v>2</v>
      </c>
      <c r="B8" s="1" t="s">
        <v>8</v>
      </c>
      <c r="C8" s="1" t="s">
        <v>9</v>
      </c>
      <c r="D8" s="1" t="s">
        <v>60</v>
      </c>
      <c r="E8" s="9">
        <v>37404263.697332516</v>
      </c>
      <c r="F8" s="9">
        <v>32990000</v>
      </c>
      <c r="G8" s="10">
        <v>649</v>
      </c>
      <c r="H8" s="11">
        <f t="shared" si="0"/>
        <v>0.10988824923806299</v>
      </c>
    </row>
    <row r="9" spans="1:8">
      <c r="A9" s="5">
        <v>3</v>
      </c>
      <c r="B9" s="1" t="s">
        <v>10</v>
      </c>
      <c r="C9" s="1" t="s">
        <v>11</v>
      </c>
      <c r="D9" s="1" t="s">
        <v>60</v>
      </c>
      <c r="E9" s="9">
        <v>38782100</v>
      </c>
      <c r="F9" s="9">
        <v>26900000</v>
      </c>
      <c r="G9" s="10">
        <v>611</v>
      </c>
      <c r="H9" s="11">
        <f t="shared" si="0"/>
        <v>0.10345411445987132</v>
      </c>
    </row>
    <row r="10" spans="1:8">
      <c r="A10" s="5">
        <v>4</v>
      </c>
      <c r="B10" s="1" t="s">
        <v>12</v>
      </c>
      <c r="C10" s="1" t="s">
        <v>13</v>
      </c>
      <c r="D10" s="1" t="s">
        <v>60</v>
      </c>
      <c r="E10" s="9">
        <v>34566797.385620907</v>
      </c>
      <c r="F10" s="9">
        <v>28990000</v>
      </c>
      <c r="G10" s="10">
        <v>522</v>
      </c>
      <c r="H10" s="11">
        <f t="shared" si="0"/>
        <v>8.838469353200136E-2</v>
      </c>
    </row>
    <row r="11" spans="1:8">
      <c r="A11" s="5">
        <v>5</v>
      </c>
      <c r="B11" s="1" t="s">
        <v>14</v>
      </c>
      <c r="C11" s="1" t="s">
        <v>15</v>
      </c>
      <c r="D11" s="1" t="s">
        <v>61</v>
      </c>
      <c r="E11" s="9">
        <v>36397668.231611893</v>
      </c>
      <c r="F11" s="9">
        <v>26990000</v>
      </c>
      <c r="G11" s="10">
        <v>438</v>
      </c>
      <c r="H11" s="11">
        <f t="shared" si="0"/>
        <v>7.4161869285472401E-2</v>
      </c>
    </row>
    <row r="12" spans="1:8">
      <c r="A12" s="5">
        <v>6</v>
      </c>
      <c r="B12" s="1" t="s">
        <v>16</v>
      </c>
      <c r="C12" s="1" t="s">
        <v>17</v>
      </c>
      <c r="D12" s="1" t="s">
        <v>59</v>
      </c>
      <c r="E12" s="9">
        <v>38183395.961369619</v>
      </c>
      <c r="F12" s="9">
        <v>29900000</v>
      </c>
      <c r="G12" s="10">
        <v>379</v>
      </c>
      <c r="H12" s="11">
        <f t="shared" si="0"/>
        <v>6.4172028445648496E-2</v>
      </c>
    </row>
    <row r="13" spans="1:8">
      <c r="A13" s="5">
        <v>7</v>
      </c>
      <c r="B13" s="1" t="s">
        <v>18</v>
      </c>
      <c r="C13" s="1" t="s">
        <v>19</v>
      </c>
      <c r="D13" s="1" t="s">
        <v>62</v>
      </c>
      <c r="E13" s="9">
        <v>34947552.70758123</v>
      </c>
      <c r="F13" s="9">
        <v>25900000</v>
      </c>
      <c r="G13" s="10">
        <v>234</v>
      </c>
      <c r="H13" s="11">
        <f t="shared" si="0"/>
        <v>3.9620724686759229E-2</v>
      </c>
    </row>
    <row r="14" spans="1:8">
      <c r="A14" s="5">
        <v>8</v>
      </c>
      <c r="B14" s="1" t="s">
        <v>18</v>
      </c>
      <c r="C14" s="1" t="s">
        <v>20</v>
      </c>
      <c r="D14" s="1" t="s">
        <v>63</v>
      </c>
      <c r="E14" s="9">
        <v>43986437.62886598</v>
      </c>
      <c r="F14" s="19" t="s">
        <v>57</v>
      </c>
      <c r="G14" s="10">
        <v>200</v>
      </c>
      <c r="H14" s="11">
        <f t="shared" si="0"/>
        <v>3.3863867253640365E-2</v>
      </c>
    </row>
    <row r="15" spans="1:8">
      <c r="A15" s="5">
        <v>9</v>
      </c>
      <c r="B15" s="1" t="s">
        <v>21</v>
      </c>
      <c r="C15" s="1" t="s">
        <v>22</v>
      </c>
      <c r="D15" s="1" t="s">
        <v>63</v>
      </c>
      <c r="E15" s="9">
        <v>36509133.519553073</v>
      </c>
      <c r="F15" s="9">
        <v>26490000</v>
      </c>
      <c r="G15" s="10">
        <v>191</v>
      </c>
      <c r="H15" s="11">
        <f t="shared" si="0"/>
        <v>3.2339993227226548E-2</v>
      </c>
    </row>
    <row r="16" spans="1:8" ht="13.9">
      <c r="A16" s="12"/>
      <c r="B16" s="13" t="s">
        <v>23</v>
      </c>
      <c r="C16" s="13" t="s">
        <v>24</v>
      </c>
      <c r="D16" s="13" t="s">
        <v>64</v>
      </c>
      <c r="E16" s="14">
        <v>40156781.678051457</v>
      </c>
      <c r="F16" s="14"/>
      <c r="G16" s="15">
        <v>1836</v>
      </c>
      <c r="H16" s="16">
        <f t="shared" si="0"/>
        <v>0.31087030138841854</v>
      </c>
    </row>
    <row r="19" spans="1:8" ht="16.899999999999999">
      <c r="A19" s="22" t="s">
        <v>70</v>
      </c>
      <c r="B19" s="21"/>
      <c r="C19" s="21"/>
      <c r="D19" s="21"/>
      <c r="E19" s="21"/>
      <c r="F19" s="21"/>
      <c r="G19" s="21"/>
    </row>
    <row r="20" spans="1:8">
      <c r="A20" s="23" t="s">
        <v>67</v>
      </c>
      <c r="B20" s="21"/>
      <c r="C20" s="21"/>
      <c r="D20" s="21"/>
      <c r="E20" s="21"/>
      <c r="F20" s="21"/>
      <c r="G20" s="21"/>
    </row>
    <row r="22" spans="1:8" ht="13.9">
      <c r="A22" s="2" t="s">
        <v>0</v>
      </c>
      <c r="B22" s="3" t="s">
        <v>1</v>
      </c>
      <c r="C22" s="3" t="s">
        <v>2</v>
      </c>
      <c r="D22" s="3" t="s">
        <v>58</v>
      </c>
      <c r="E22" s="3" t="s">
        <v>65</v>
      </c>
      <c r="F22" s="18" t="s">
        <v>4</v>
      </c>
      <c r="G22" s="3" t="s">
        <v>66</v>
      </c>
      <c r="H22" s="4" t="s">
        <v>5</v>
      </c>
    </row>
    <row r="23" spans="1:8">
      <c r="A23" s="5">
        <v>1</v>
      </c>
      <c r="B23" s="1" t="s">
        <v>6</v>
      </c>
      <c r="C23" s="1" t="s">
        <v>25</v>
      </c>
      <c r="D23" s="1" t="s">
        <v>59</v>
      </c>
      <c r="E23" s="9">
        <v>39343856.502242163</v>
      </c>
      <c r="F23" s="9">
        <v>32900000</v>
      </c>
      <c r="G23" s="10">
        <v>693</v>
      </c>
      <c r="H23" s="11">
        <f t="shared" ref="H23:H29" si="1">G23/SUM($G$23:$G$29)</f>
        <v>0.65192850423330195</v>
      </c>
    </row>
    <row r="24" spans="1:8">
      <c r="A24" s="5">
        <v>2</v>
      </c>
      <c r="B24" s="1" t="s">
        <v>8</v>
      </c>
      <c r="C24" s="1" t="s">
        <v>26</v>
      </c>
      <c r="D24" s="1" t="s">
        <v>60</v>
      </c>
      <c r="E24" s="9">
        <v>27182152.56410256</v>
      </c>
      <c r="F24" s="9">
        <v>21990000</v>
      </c>
      <c r="G24" s="10">
        <v>118</v>
      </c>
      <c r="H24" s="11">
        <f t="shared" si="1"/>
        <v>0.11100658513640639</v>
      </c>
    </row>
    <row r="25" spans="1:8">
      <c r="A25" s="5">
        <v>3</v>
      </c>
      <c r="B25" s="1" t="s">
        <v>18</v>
      </c>
      <c r="C25" s="1" t="s">
        <v>27</v>
      </c>
      <c r="D25" s="1" t="s">
        <v>61</v>
      </c>
      <c r="E25" s="9">
        <v>26822588.311688311</v>
      </c>
      <c r="F25" s="9">
        <v>18990000</v>
      </c>
      <c r="G25" s="10">
        <v>77</v>
      </c>
      <c r="H25" s="11">
        <f t="shared" si="1"/>
        <v>7.2436500470366885E-2</v>
      </c>
    </row>
    <row r="26" spans="1:8">
      <c r="A26" s="5">
        <v>4</v>
      </c>
      <c r="B26" s="1" t="s">
        <v>28</v>
      </c>
      <c r="C26" s="1" t="s">
        <v>29</v>
      </c>
      <c r="D26" s="1" t="s">
        <v>59</v>
      </c>
      <c r="E26" s="9">
        <v>26990000</v>
      </c>
      <c r="F26" s="9">
        <v>18990000</v>
      </c>
      <c r="G26" s="10">
        <v>57</v>
      </c>
      <c r="H26" s="11">
        <f t="shared" si="1"/>
        <v>5.3621825023518345E-2</v>
      </c>
    </row>
    <row r="27" spans="1:8">
      <c r="A27" s="5">
        <v>5</v>
      </c>
      <c r="B27" s="1" t="s">
        <v>30</v>
      </c>
      <c r="C27" s="1" t="s">
        <v>31</v>
      </c>
      <c r="D27" s="1" t="s">
        <v>59</v>
      </c>
      <c r="E27" s="9">
        <v>31169544.50867052</v>
      </c>
      <c r="F27" s="9">
        <v>16490000</v>
      </c>
      <c r="G27" s="10">
        <v>49</v>
      </c>
      <c r="H27" s="11">
        <f t="shared" si="1"/>
        <v>4.6095954844778929E-2</v>
      </c>
    </row>
    <row r="28" spans="1:8">
      <c r="A28" s="5">
        <v>6</v>
      </c>
      <c r="B28" s="1" t="s">
        <v>32</v>
      </c>
      <c r="C28" s="1" t="s">
        <v>33</v>
      </c>
      <c r="D28" s="1" t="s">
        <v>59</v>
      </c>
      <c r="E28" s="9">
        <v>48501635.353535347</v>
      </c>
      <c r="F28" s="9">
        <v>32990000</v>
      </c>
      <c r="G28" s="10">
        <v>45</v>
      </c>
      <c r="H28" s="11">
        <f t="shared" si="1"/>
        <v>4.2333019755409221E-2</v>
      </c>
    </row>
    <row r="29" spans="1:8" ht="13.9">
      <c r="A29" s="12"/>
      <c r="B29" s="13" t="s">
        <v>23</v>
      </c>
      <c r="C29" s="13" t="s">
        <v>24</v>
      </c>
      <c r="D29" s="13" t="s">
        <v>64</v>
      </c>
      <c r="E29" s="14">
        <v>38803136.979166657</v>
      </c>
      <c r="F29" s="14"/>
      <c r="G29" s="15">
        <v>24</v>
      </c>
      <c r="H29" s="16">
        <f t="shared" si="1"/>
        <v>2.2577610536218252E-2</v>
      </c>
    </row>
  </sheetData>
  <mergeCells count="5">
    <mergeCell ref="A1:G1"/>
    <mergeCell ref="A3:G3"/>
    <mergeCell ref="A4:G4"/>
    <mergeCell ref="A20:G20"/>
    <mergeCell ref="A19:G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showGridLines="0" workbookViewId="0"/>
  </sheetViews>
  <sheetFormatPr defaultRowHeight="13.5"/>
  <cols>
    <col min="1" max="1" width="28" customWidth="1"/>
    <col min="2" max="2" width="120" customWidth="1"/>
  </cols>
  <sheetData>
    <row r="1" spans="1:2" ht="13.9">
      <c r="A1" s="2" t="s">
        <v>34</v>
      </c>
      <c r="B1" s="17" t="s">
        <v>35</v>
      </c>
    </row>
    <row r="2" spans="1:2">
      <c r="A2" s="5" t="s">
        <v>36</v>
      </c>
      <c r="B2" s="6" t="s">
        <v>37</v>
      </c>
    </row>
    <row r="3" spans="1:2">
      <c r="A3" s="5" t="s">
        <v>38</v>
      </c>
      <c r="B3" s="6" t="s">
        <v>39</v>
      </c>
    </row>
    <row r="4" spans="1:2">
      <c r="A4" s="5" t="s">
        <v>40</v>
      </c>
      <c r="B4" s="6" t="s">
        <v>41</v>
      </c>
    </row>
    <row r="5" spans="1:2">
      <c r="A5" s="5" t="s">
        <v>42</v>
      </c>
      <c r="B5" s="6" t="s">
        <v>43</v>
      </c>
    </row>
    <row r="6" spans="1:2">
      <c r="A6" s="5" t="s">
        <v>44</v>
      </c>
      <c r="B6" s="6" t="s">
        <v>45</v>
      </c>
    </row>
    <row r="7" spans="1:2">
      <c r="A7" s="5" t="s">
        <v>46</v>
      </c>
      <c r="B7" s="6" t="s">
        <v>47</v>
      </c>
    </row>
    <row r="8" spans="1:2">
      <c r="A8" s="5" t="s">
        <v>48</v>
      </c>
      <c r="B8" s="6" t="s">
        <v>49</v>
      </c>
    </row>
    <row r="9" spans="1:2">
      <c r="A9" s="5" t="s">
        <v>50</v>
      </c>
      <c r="B9" s="6" t="s">
        <v>51</v>
      </c>
    </row>
    <row r="10" spans="1:2">
      <c r="A10" s="5" t="s">
        <v>3</v>
      </c>
      <c r="B10" s="6" t="s">
        <v>52</v>
      </c>
    </row>
    <row r="11" spans="1:2">
      <c r="A11" s="5" t="s">
        <v>53</v>
      </c>
      <c r="B11" s="6" t="s">
        <v>54</v>
      </c>
    </row>
    <row r="12" spans="1:2">
      <c r="A12" s="7" t="s">
        <v>55</v>
      </c>
      <c r="B12" s="8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CB filtrado 2026</vt:lpstr>
      <vt:lpstr>Supuestos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Tomas Hirschberg</cp:lastModifiedBy>
  <dcterms:created xsi:type="dcterms:W3CDTF">2026-07-13T18:55:32Z</dcterms:created>
  <dcterms:modified xsi:type="dcterms:W3CDTF">2026-07-13T21:12:03Z</dcterms:modified>
</cp:coreProperties>
</file>
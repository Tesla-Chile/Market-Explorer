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rs\Documents\Calculo MS Tesla\outputs\market_study\"/>
    </mc:Choice>
  </mc:AlternateContent>
  <xr:revisionPtr revIDLastSave="0" documentId="13_ncr:1_{E0CA8745-A566-4354-9EF2-10BE6B55D14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assenger Vehicles 2026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<sst xmlns="http://schemas.openxmlformats.org/spreadsheetml/2006/main" count="32" uniqueCount="31">
  <si>
    <t>Tesla Competition Study | Passenger Vehicles | 2026</t>
  </si>
  <si>
    <t>Passenger Vehicles | bracket $30,000,000 to $50,000,000 CLP | 2026</t>
  </si>
  <si>
    <t>2026: 1,613 Annual Demand | Models considered: 23</t>
  </si>
  <si>
    <t>Ranking</t>
  </si>
  <si>
    <t>Brand</t>
  </si>
  <si>
    <t>Model</t>
  </si>
  <si>
    <t>Average Anac List Price</t>
  </si>
  <si>
    <t>Starting price</t>
  </si>
  <si>
    <t>Annual Demand 2026</t>
  </si>
  <si>
    <t>MS 2026</t>
  </si>
  <si>
    <t>TESLA</t>
  </si>
  <si>
    <t>MODEL 3</t>
  </si>
  <si>
    <t>BMW</t>
  </si>
  <si>
    <t>120</t>
  </si>
  <si>
    <t>CITROEN</t>
  </si>
  <si>
    <t>NEW C4</t>
  </si>
  <si>
    <t>MERCEDES BENZ</t>
  </si>
  <si>
    <t>A</t>
  </si>
  <si>
    <t>CUPRA</t>
  </si>
  <si>
    <t>CUPRA LEON</t>
  </si>
  <si>
    <t>AUDI</t>
  </si>
  <si>
    <t>A3</t>
  </si>
  <si>
    <t>PEUGEOT</t>
  </si>
  <si>
    <t>308</t>
  </si>
  <si>
    <t>MINI</t>
  </si>
  <si>
    <t>ACEMAN</t>
  </si>
  <si>
    <t>SUBARU</t>
  </si>
  <si>
    <t>ALL NEW WRX</t>
  </si>
  <si>
    <t>COOPER C</t>
  </si>
  <si>
    <t>Rest</t>
  </si>
  <si>
    <t>Resting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</si>
</sst>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3"/>
      <color rgb="FFFFFFFF"/>
      <name val="Calibri"/>
      <family val="2"/>
    </font>
    <font>
      <sz val="11"/>
      <color rgb="FF173B45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252C"/>
      </patternFill>
    </fill>
    <fill>
      <patternFill patternType="solid">
        <fgColor rgb="FFEAF3F6"/>
      </patternFill>
    </fill>
    <fill>
      <patternFill patternType="solid">
        <fgColor rgb="FF2F6F7E"/>
      </patternFill>
    </fill>
    <fill>
      <patternFill patternType="solid">
        <fgColor rgb="FFF3F7F9"/>
      </patternFill>
    </fill>
  </fills>
  <borders count="4">
    <border>
      <left/>
      <right/>
      <top/>
      <bottom/>
      <diagonal/>
    </border>
    <border>
      <left style="thin">
        <color rgb="FFD9E3E7"/>
      </left>
      <right style="thin">
        <color rgb="FFD9E3E7"/>
      </right>
      <top style="thin">
        <color rgb="FFD9E3E7"/>
      </top>
      <bottom style="thin">
        <color rgb="FFD9E3E7"/>
      </bottom>
      <diagonal/>
    </border>
    <border>
      <left style="thin">
        <color rgb="FFD9E3E7"/>
      </left>
      <right style="thin">
        <color rgb="FFD9E3E7"/>
      </right>
      <top style="medium">
        <color rgb="FF9BB5BD"/>
      </top>
      <bottom style="thin">
        <color rgb="FFD9E3E7"/>
      </bottom>
      <diagonal/>
    </border>
    <border>
      <left style="thin">
        <color rgb="FFD9E3E7"/>
      </left>
      <right style="thin">
        <color rgb="FFD9E3E7"/>
      </right>
      <top style="thin">
        <color rgb="FFD9E3E7"/>
      </top>
      <bottom style="medium">
        <color rgb="FF9BB5B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4" borderId="2" xfId="0" applyFon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0" fontId="5" fillId="5" borderId="3" xfId="0" applyFont="1" applyFill="1" applyBorder="1"/>
    <xf numFmtId="164" fontId="5" fillId="5" borderId="3" xfId="0" applyNumberFormat="1" applyFont="1" applyFill="1" applyBorder="1"/>
    <xf numFmtId="3" fontId="5" fillId="5" borderId="3" xfId="0" applyNumberFormat="1" applyFont="1" applyFill="1" applyBorder="1"/>
    <xf numFmtId="165" fontId="5" fillId="5" borderId="3" xfId="0" applyNumberFormat="1" applyFont="1" applyFill="1" applyBorder="1"/>
    <xf numFmtId="0" fontId="2" fillId="2" borderId="0" xfId="0" applyFont="1" applyFill="1"/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workbookViewId="0">
      <pane ySplit="5" topLeftCell="A6" activePane="bottomLeft" state="frozen"/>
      <selection pane="bottomLeft" activeCell="E22" sqref="E22"/>
    </sheetView>
  </sheetViews>
  <sheetFormatPr defaultRowHeight="14.25" x14ac:dyDescent="0.45"/>
  <cols>
    <col min="1" max="1" width="12" customWidth="1"/>
    <col min="2" max="2" width="18" customWidth="1"/>
    <col min="3" max="3" width="36" customWidth="1"/>
    <col min="4" max="4" width="24" customWidth="1"/>
    <col min="5" max="5" width="18" customWidth="1"/>
    <col min="6" max="6" width="21" customWidth="1"/>
    <col min="7" max="7" width="14" customWidth="1"/>
  </cols>
  <sheetData>
    <row r="1" spans="1:7" ht="19.5" x14ac:dyDescent="0.6">
      <c r="A1" s="12" t="s">
        <v>0</v>
      </c>
      <c r="B1" s="11"/>
      <c r="C1" s="11"/>
      <c r="D1" s="11"/>
      <c r="E1" s="11"/>
      <c r="F1" s="11"/>
      <c r="G1" s="11"/>
    </row>
    <row r="3" spans="1:7" ht="16.899999999999999" x14ac:dyDescent="0.5">
      <c r="A3" s="10" t="s">
        <v>1</v>
      </c>
      <c r="B3" s="11"/>
      <c r="C3" s="11"/>
      <c r="D3" s="11"/>
      <c r="E3" s="11"/>
      <c r="F3" s="11"/>
      <c r="G3" s="11"/>
    </row>
    <row r="4" spans="1:7" x14ac:dyDescent="0.45">
      <c r="A4" s="13" t="s">
        <v>2</v>
      </c>
      <c r="B4" s="11"/>
      <c r="C4" s="11"/>
      <c r="D4" s="11"/>
      <c r="E4" s="11"/>
      <c r="F4" s="11"/>
      <c r="G4" s="11"/>
    </row>
    <row r="6" spans="1:7" x14ac:dyDescent="0.4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</row>
    <row r="7" spans="1:7" x14ac:dyDescent="0.45">
      <c r="A7" s="2">
        <v>1</v>
      </c>
      <c r="B7" s="2" t="s">
        <v>10</v>
      </c>
      <c r="C7" s="2" t="s">
        <v>11</v>
      </c>
      <c r="D7" s="3">
        <v>36306782.106782109</v>
      </c>
      <c r="E7" s="3">
        <v>32900000</v>
      </c>
      <c r="F7" s="4">
        <v>693</v>
      </c>
      <c r="G7" s="5">
        <f t="shared" ref="G7:G17" si="0">F7/SUM($F$7:$F$17)</f>
        <v>0.42963422194668321</v>
      </c>
    </row>
    <row r="8" spans="1:7" x14ac:dyDescent="0.45">
      <c r="A8" s="2">
        <v>2</v>
      </c>
      <c r="B8" s="2" t="s">
        <v>12</v>
      </c>
      <c r="C8" s="2" t="s">
        <v>13</v>
      </c>
      <c r="D8" s="3">
        <v>46640604.519774012</v>
      </c>
      <c r="E8" s="3">
        <v>30500000</v>
      </c>
      <c r="F8" s="4">
        <v>177</v>
      </c>
      <c r="G8" s="5">
        <f t="shared" si="0"/>
        <v>0.1097334159950403</v>
      </c>
    </row>
    <row r="9" spans="1:7" x14ac:dyDescent="0.45">
      <c r="A9" s="2">
        <v>3</v>
      </c>
      <c r="B9" s="2" t="s">
        <v>14</v>
      </c>
      <c r="C9" s="2" t="s">
        <v>15</v>
      </c>
      <c r="D9" s="3">
        <v>31283666.265060239</v>
      </c>
      <c r="E9" s="3">
        <v>22900000</v>
      </c>
      <c r="F9" s="4">
        <v>166</v>
      </c>
      <c r="G9" s="5">
        <f t="shared" si="0"/>
        <v>0.10291382517048978</v>
      </c>
    </row>
    <row r="10" spans="1:7" x14ac:dyDescent="0.45">
      <c r="A10" s="2">
        <v>4</v>
      </c>
      <c r="B10" s="2" t="s">
        <v>16</v>
      </c>
      <c r="C10" s="2" t="s">
        <v>17</v>
      </c>
      <c r="D10" s="3">
        <v>43841773.017857142</v>
      </c>
      <c r="E10" s="3">
        <v>29900000</v>
      </c>
      <c r="F10" s="4">
        <v>112</v>
      </c>
      <c r="G10" s="5">
        <f t="shared" si="0"/>
        <v>6.9435833849969E-2</v>
      </c>
    </row>
    <row r="11" spans="1:7" x14ac:dyDescent="0.45">
      <c r="A11" s="2">
        <v>5</v>
      </c>
      <c r="B11" s="2" t="s">
        <v>18</v>
      </c>
      <c r="C11" s="2" t="s">
        <v>19</v>
      </c>
      <c r="D11" s="3">
        <v>33365000</v>
      </c>
      <c r="E11" s="3">
        <v>25990000</v>
      </c>
      <c r="F11" s="4">
        <v>96</v>
      </c>
      <c r="G11" s="5">
        <f t="shared" si="0"/>
        <v>5.9516429014259145E-2</v>
      </c>
    </row>
    <row r="12" spans="1:7" x14ac:dyDescent="0.45">
      <c r="A12" s="2">
        <v>6</v>
      </c>
      <c r="B12" s="2" t="s">
        <v>20</v>
      </c>
      <c r="C12" s="2" t="s">
        <v>21</v>
      </c>
      <c r="D12" s="3">
        <v>40176274.509803921</v>
      </c>
      <c r="E12" s="3">
        <v>29100000</v>
      </c>
      <c r="F12" s="4">
        <v>51</v>
      </c>
      <c r="G12" s="5">
        <f t="shared" si="0"/>
        <v>3.161810291382517E-2</v>
      </c>
    </row>
    <row r="13" spans="1:7" x14ac:dyDescent="0.45">
      <c r="A13" s="2">
        <v>7</v>
      </c>
      <c r="B13" s="2" t="s">
        <v>22</v>
      </c>
      <c r="C13" s="2" t="s">
        <v>23</v>
      </c>
      <c r="D13" s="3">
        <v>33615794</v>
      </c>
      <c r="E13" s="3">
        <v>19900000</v>
      </c>
      <c r="F13" s="4">
        <v>50</v>
      </c>
      <c r="G13" s="5">
        <f t="shared" si="0"/>
        <v>3.0998140111593304E-2</v>
      </c>
    </row>
    <row r="14" spans="1:7" x14ac:dyDescent="0.45">
      <c r="A14" s="2">
        <v>8</v>
      </c>
      <c r="B14" s="2" t="s">
        <v>24</v>
      </c>
      <c r="C14" s="2" t="s">
        <v>25</v>
      </c>
      <c r="D14" s="3">
        <v>48090544.444444448</v>
      </c>
      <c r="E14" s="3"/>
      <c r="F14" s="4">
        <v>45</v>
      </c>
      <c r="G14" s="5">
        <f t="shared" si="0"/>
        <v>2.7898326100433975E-2</v>
      </c>
    </row>
    <row r="15" spans="1:7" x14ac:dyDescent="0.45">
      <c r="A15" s="2">
        <v>9</v>
      </c>
      <c r="B15" s="2" t="s">
        <v>26</v>
      </c>
      <c r="C15" s="2" t="s">
        <v>27</v>
      </c>
      <c r="D15" s="3">
        <v>43990000</v>
      </c>
      <c r="E15" s="3"/>
      <c r="F15" s="4">
        <v>39</v>
      </c>
      <c r="G15" s="5">
        <f t="shared" si="0"/>
        <v>2.4178549287042779E-2</v>
      </c>
    </row>
    <row r="16" spans="1:7" x14ac:dyDescent="0.45">
      <c r="A16" s="2">
        <v>10</v>
      </c>
      <c r="B16" s="2" t="s">
        <v>24</v>
      </c>
      <c r="C16" s="2" t="s">
        <v>28</v>
      </c>
      <c r="D16" s="3">
        <v>34990000</v>
      </c>
      <c r="E16" s="3"/>
      <c r="F16" s="4">
        <v>38</v>
      </c>
      <c r="G16" s="5">
        <f t="shared" si="0"/>
        <v>2.3558586484810913E-2</v>
      </c>
    </row>
    <row r="17" spans="1:7" x14ac:dyDescent="0.45">
      <c r="A17" s="6"/>
      <c r="B17" s="6" t="s">
        <v>29</v>
      </c>
      <c r="C17" s="6" t="s">
        <v>30</v>
      </c>
      <c r="D17" s="7">
        <v>41054814.383561641</v>
      </c>
      <c r="E17" s="7"/>
      <c r="F17" s="8">
        <v>146</v>
      </c>
      <c r="G17" s="9">
        <f t="shared" si="0"/>
        <v>9.0514569125852443E-2</v>
      </c>
    </row>
  </sheetData>
  <mergeCells count="3">
    <mergeCell ref="A3:G3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 Vehicles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Hirschberg</cp:lastModifiedBy>
  <dcterms:created xsi:type="dcterms:W3CDTF">2026-07-14T02:02:28Z</dcterms:created>
  <dcterms:modified xsi:type="dcterms:W3CDTF">2026-07-14T14:55:31Z</dcterms:modified>
</cp:coreProperties>
</file>
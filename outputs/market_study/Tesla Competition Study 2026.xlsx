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hirs\Documents\Calculo MS Tesla\outputs\market_study\"/>
    </mc:Choice>
  </mc:AlternateContent>
  <xr:revisionPtr revIDLastSave="0" documentId="13_ncr:1_{674ED328-C13E-4DF0-ADDC-5B4DB928DCC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abla 2026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1" l="1"/>
  <c r="G29" i="1"/>
  <c r="G28" i="1"/>
  <c r="G27" i="1"/>
  <c r="G26" i="1"/>
  <c r="G25" i="1"/>
  <c r="G24" i="1"/>
  <c r="G23" i="1"/>
  <c r="G22" i="1"/>
  <c r="G20" i="1"/>
  <c r="G14" i="1"/>
  <c r="G13" i="1"/>
  <c r="G12" i="1"/>
  <c r="G11" i="1"/>
  <c r="G10" i="1"/>
  <c r="G9" i="1"/>
  <c r="G8" i="1"/>
  <c r="G7" i="1"/>
</calcChain>
</file>

<file path=xl/sharedStrings.xml><?xml version="1.0" encoding="utf-8"?>
<sst xmlns="http://schemas.openxmlformats.org/spreadsheetml/2006/main" count="55" uniqueCount="42">
  <si>
    <t>Tesla Competition Study 2026</t>
  </si>
  <si>
    <t>SUV | bracket $30.000.000 to $50.000.000 CLP | 2026</t>
  </si>
  <si>
    <t>2026: 14,259 Annual Demand | Models considered: 97</t>
  </si>
  <si>
    <t>Ranking</t>
  </si>
  <si>
    <t>Brand</t>
  </si>
  <si>
    <t>Model</t>
  </si>
  <si>
    <t>Average Anac List Price</t>
  </si>
  <si>
    <t>Starting price</t>
  </si>
  <si>
    <t>Annual Demand 2026</t>
  </si>
  <si>
    <t>MS 2026</t>
  </si>
  <si>
    <t>TOYOTA</t>
  </si>
  <si>
    <t>RAV4</t>
  </si>
  <si>
    <t>KIA</t>
  </si>
  <si>
    <t>SPORTAGE</t>
  </si>
  <si>
    <t>TESLA</t>
  </si>
  <si>
    <t>MODEL Y</t>
  </si>
  <si>
    <t>SUBARU</t>
  </si>
  <si>
    <t>ALL NEW FORESTER</t>
  </si>
  <si>
    <t>HYUNDAI</t>
  </si>
  <si>
    <t>TUCSON NX4E HEV</t>
  </si>
  <si>
    <t>VOLVO</t>
  </si>
  <si>
    <t>EX30</t>
  </si>
  <si>
    <t>ALL NEW OUTBACK</t>
  </si>
  <si>
    <t>REST</t>
  </si>
  <si>
    <t>Resting Models</t>
  </si>
  <si>
    <t>Passenger Vehicles | bracket $25.000.000 to $50.000.000 CLP | 2026</t>
  </si>
  <si>
    <t>2026: 2,814 Annual Demand | Models considered: 44</t>
  </si>
  <si>
    <t>MODEL 3</t>
  </si>
  <si>
    <t>BMW</t>
  </si>
  <si>
    <t>120</t>
  </si>
  <si>
    <t>CITROEN</t>
  </si>
  <si>
    <t>NEW C4</t>
  </si>
  <si>
    <t>IMPREZA SPORT NEW GENERATION</t>
  </si>
  <si>
    <t>COROLLA</t>
  </si>
  <si>
    <t>MERCEDES BENZ</t>
  </si>
  <si>
    <t>A</t>
  </si>
  <si>
    <t>CUPRA</t>
  </si>
  <si>
    <t>CUPRA LEON</t>
  </si>
  <si>
    <t>AUDI</t>
  </si>
  <si>
    <t>A3</t>
  </si>
  <si>
    <t>PEUGEOT</t>
  </si>
  <si>
    <t>308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</si>
</sst>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0.0%"/>
  </numFmts>
  <fonts count="5">
    <font>
      <sz val="11"/>
      <name val="Carlito"/>
    </font>
    <font>
      <b/>
      <sz val="15"/>
      <color rgb="FFFFFFFF"/>
      <name val="Carlito"/>
    </font>
    <font>
      <b/>
      <sz val="13"/>
      <color rgb="FFFFFFFF"/>
      <name val="Carlito"/>
    </font>
    <font>
      <b/>
      <sz val="11"/>
      <color rgb="FFFFFFFF"/>
      <name val="Carlito"/>
    </font>
    <font>
      <b/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0F252C"/>
      </patternFill>
    </fill>
    <fill>
      <patternFill patternType="solid">
        <fgColor rgb="FF15343D"/>
      </patternFill>
    </fill>
    <fill>
      <patternFill patternType="solid">
        <fgColor rgb="FF2F6F7E"/>
      </patternFill>
    </fill>
    <fill>
      <patternFill patternType="solid">
        <fgColor rgb="FFF3F7F9"/>
      </patternFill>
    </fill>
  </fills>
  <borders count="10">
    <border>
      <left/>
      <right/>
      <top/>
      <bottom/>
      <diagonal/>
    </border>
    <border>
      <left style="thin">
        <color rgb="FFD9E3E7"/>
      </left>
      <right style="thin">
        <color rgb="FFD9E3E7"/>
      </right>
      <top style="thin">
        <color rgb="FFD9E3E7"/>
      </top>
      <bottom style="thin">
        <color rgb="FFD9E3E7"/>
      </bottom>
      <diagonal/>
    </border>
    <border>
      <left style="medium">
        <color rgb="FF9BB5BD"/>
      </left>
      <right style="thin">
        <color rgb="FFD9E3E7"/>
      </right>
      <top style="medium">
        <color rgb="FF9BB5BD"/>
      </top>
      <bottom style="thin">
        <color rgb="FFD9E3E7"/>
      </bottom>
      <diagonal/>
    </border>
    <border>
      <left style="thin">
        <color rgb="FFD9E3E7"/>
      </left>
      <right style="thin">
        <color rgb="FFD9E3E7"/>
      </right>
      <top style="medium">
        <color rgb="FF9BB5BD"/>
      </top>
      <bottom style="thin">
        <color rgb="FFD9E3E7"/>
      </bottom>
      <diagonal/>
    </border>
    <border>
      <left style="thin">
        <color rgb="FFD9E3E7"/>
      </left>
      <right style="medium">
        <color rgb="FF9BB5BD"/>
      </right>
      <top style="medium">
        <color rgb="FF9BB5BD"/>
      </top>
      <bottom style="thin">
        <color rgb="FFD9E3E7"/>
      </bottom>
      <diagonal/>
    </border>
    <border>
      <left style="medium">
        <color rgb="FF9BB5BD"/>
      </left>
      <right style="thin">
        <color rgb="FFD9E3E7"/>
      </right>
      <top style="thin">
        <color rgb="FFD9E3E7"/>
      </top>
      <bottom style="thin">
        <color rgb="FFD9E3E7"/>
      </bottom>
      <diagonal/>
    </border>
    <border>
      <left style="thin">
        <color rgb="FFD9E3E7"/>
      </left>
      <right style="medium">
        <color rgb="FF9BB5BD"/>
      </right>
      <top style="thin">
        <color rgb="FFD9E3E7"/>
      </top>
      <bottom style="thin">
        <color rgb="FFD9E3E7"/>
      </bottom>
      <diagonal/>
    </border>
    <border>
      <left style="medium">
        <color rgb="FF9BB5BD"/>
      </left>
      <right style="thin">
        <color rgb="FFD9E3E7"/>
      </right>
      <top style="thin">
        <color rgb="FFD9E3E7"/>
      </top>
      <bottom style="medium">
        <color rgb="FF9BB5BD"/>
      </bottom>
      <diagonal/>
    </border>
    <border>
      <left style="thin">
        <color rgb="FFD9E3E7"/>
      </left>
      <right style="thin">
        <color rgb="FFD9E3E7"/>
      </right>
      <top style="thin">
        <color rgb="FFD9E3E7"/>
      </top>
      <bottom style="medium">
        <color rgb="FF9BB5BD"/>
      </bottom>
      <diagonal/>
    </border>
    <border>
      <left style="thin">
        <color rgb="FFD9E3E7"/>
      </left>
      <right style="medium">
        <color rgb="FF9BB5BD"/>
      </right>
      <top style="thin">
        <color rgb="FFD9E3E7"/>
      </top>
      <bottom style="medium">
        <color rgb="FF9BB5B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3" fillId="4" borderId="2" xfId="0" applyFont="1" applyFill="1" applyBorder="1"/>
    <xf numFmtId="0" fontId="3" fillId="4" borderId="3" xfId="0" applyFont="1" applyFill="1" applyBorder="1"/>
    <xf numFmtId="0" fontId="3" fillId="4" borderId="4" xfId="0" applyFont="1" applyFill="1" applyBorder="1"/>
    <xf numFmtId="0" fontId="0" fillId="0" borderId="5" xfId="0" applyBorder="1"/>
    <xf numFmtId="164" fontId="0" fillId="0" borderId="1" xfId="0" applyNumberFormat="1" applyBorder="1"/>
    <xf numFmtId="3" fontId="0" fillId="0" borderId="1" xfId="0" applyNumberFormat="1" applyBorder="1"/>
    <xf numFmtId="165" fontId="0" fillId="0" borderId="6" xfId="0" applyNumberFormat="1" applyBorder="1"/>
    <xf numFmtId="0" fontId="4" fillId="5" borderId="7" xfId="0" applyFont="1" applyFill="1" applyBorder="1"/>
    <xf numFmtId="0" fontId="4" fillId="5" borderId="8" xfId="0" applyFont="1" applyFill="1" applyBorder="1"/>
    <xf numFmtId="164" fontId="4" fillId="5" borderId="8" xfId="0" applyNumberFormat="1" applyFont="1" applyFill="1" applyBorder="1"/>
    <xf numFmtId="3" fontId="4" fillId="5" borderId="8" xfId="0" applyNumberFormat="1" applyFont="1" applyFill="1" applyBorder="1"/>
    <xf numFmtId="165" fontId="4" fillId="5" borderId="9" xfId="0" applyNumberFormat="1" applyFont="1" applyFill="1" applyBorder="1"/>
    <xf numFmtId="0" fontId="3" fillId="4" borderId="3" xfId="0" applyFont="1" applyFill="1" applyBorder="1" applyAlignment="1">
      <alignment horizontal="left"/>
    </xf>
    <xf numFmtId="0" fontId="0" fillId="0" borderId="0" xfId="0"/>
    <xf numFmtId="0" fontId="2" fillId="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showGridLines="0" tabSelected="1" zoomScale="85" workbookViewId="0">
      <selection activeCell="I27" sqref="I27"/>
    </sheetView>
  </sheetViews>
  <sheetFormatPr defaultRowHeight="13.5"/>
  <cols>
    <col min="1" max="1" width="12" customWidth="1"/>
    <col min="2" max="2" width="18" customWidth="1"/>
    <col min="3" max="3" width="34" customWidth="1"/>
    <col min="4" max="4" width="23.5625" customWidth="1"/>
    <col min="5" max="5" width="18" customWidth="1"/>
    <col min="6" max="6" width="21" customWidth="1"/>
    <col min="7" max="7" width="14" customWidth="1"/>
  </cols>
  <sheetData>
    <row r="1" spans="1:7" ht="18.75" customHeight="1">
      <c r="A1" s="18" t="s">
        <v>0</v>
      </c>
      <c r="B1" s="15"/>
      <c r="C1" s="15"/>
      <c r="D1" s="15"/>
      <c r="E1" s="15"/>
      <c r="F1" s="15"/>
    </row>
    <row r="3" spans="1:7" ht="16.899999999999999" customHeight="1">
      <c r="A3" s="16" t="s">
        <v>1</v>
      </c>
      <c r="B3" s="15"/>
      <c r="C3" s="15"/>
      <c r="D3" s="15"/>
      <c r="E3" s="15"/>
      <c r="F3" s="15"/>
      <c r="G3" s="15"/>
    </row>
    <row r="4" spans="1:7">
      <c r="A4" s="17" t="s">
        <v>2</v>
      </c>
      <c r="B4" s="15"/>
      <c r="C4" s="15"/>
      <c r="D4" s="15"/>
      <c r="E4" s="15"/>
      <c r="F4" s="15"/>
      <c r="G4" s="15"/>
    </row>
    <row r="5" spans="1:7" ht="13.9" customHeight="1"/>
    <row r="6" spans="1:7" ht="13.9" customHeight="1">
      <c r="A6" s="2" t="s">
        <v>3</v>
      </c>
      <c r="B6" s="3" t="s">
        <v>4</v>
      </c>
      <c r="C6" s="3" t="s">
        <v>5</v>
      </c>
      <c r="D6" s="3" t="s">
        <v>6</v>
      </c>
      <c r="E6" s="14" t="s">
        <v>7</v>
      </c>
      <c r="F6" s="3" t="s">
        <v>8</v>
      </c>
      <c r="G6" s="4" t="s">
        <v>9</v>
      </c>
    </row>
    <row r="7" spans="1:7">
      <c r="A7" s="5">
        <v>1</v>
      </c>
      <c r="B7" s="1" t="s">
        <v>10</v>
      </c>
      <c r="C7" s="1" t="s">
        <v>11</v>
      </c>
      <c r="D7" s="6">
        <v>32439397</v>
      </c>
      <c r="E7" s="6">
        <v>25990000</v>
      </c>
      <c r="F7" s="7">
        <v>1590</v>
      </c>
      <c r="G7" s="8">
        <f t="shared" ref="G7:G14" si="0">F7/SUM($F$7:$F$14)</f>
        <v>0.11150852093414686</v>
      </c>
    </row>
    <row r="8" spans="1:7">
      <c r="A8" s="5">
        <v>2</v>
      </c>
      <c r="B8" s="1" t="s">
        <v>12</v>
      </c>
      <c r="C8" s="1" t="s">
        <v>13</v>
      </c>
      <c r="D8" s="6">
        <v>31140195</v>
      </c>
      <c r="E8" s="6">
        <v>21990000</v>
      </c>
      <c r="F8" s="7">
        <v>970</v>
      </c>
      <c r="G8" s="8">
        <f t="shared" si="0"/>
        <v>6.8027210884353748E-2</v>
      </c>
    </row>
    <row r="9" spans="1:7">
      <c r="A9" s="5">
        <v>3</v>
      </c>
      <c r="B9" s="1" t="s">
        <v>14</v>
      </c>
      <c r="C9" s="1" t="s">
        <v>15</v>
      </c>
      <c r="D9" s="6">
        <v>44099134</v>
      </c>
      <c r="E9" s="6">
        <v>36900000</v>
      </c>
      <c r="F9" s="7">
        <v>846</v>
      </c>
      <c r="G9" s="8">
        <f t="shared" si="0"/>
        <v>5.933094887439512E-2</v>
      </c>
    </row>
    <row r="10" spans="1:7">
      <c r="A10" s="5">
        <v>4</v>
      </c>
      <c r="B10" s="1" t="s">
        <v>16</v>
      </c>
      <c r="C10" s="1" t="s">
        <v>17</v>
      </c>
      <c r="D10" s="6">
        <v>36786740</v>
      </c>
      <c r="E10" s="6">
        <v>25990000</v>
      </c>
      <c r="F10" s="7">
        <v>670</v>
      </c>
      <c r="G10" s="8">
        <f t="shared" si="0"/>
        <v>4.6987867311873203E-2</v>
      </c>
    </row>
    <row r="11" spans="1:7">
      <c r="A11" s="5">
        <v>5</v>
      </c>
      <c r="B11" s="1" t="s">
        <v>18</v>
      </c>
      <c r="C11" s="1" t="s">
        <v>19</v>
      </c>
      <c r="D11" s="6">
        <v>34566797</v>
      </c>
      <c r="E11" s="6">
        <v>28990000</v>
      </c>
      <c r="F11" s="7">
        <v>522</v>
      </c>
      <c r="G11" s="8">
        <f t="shared" si="0"/>
        <v>3.6608457816116137E-2</v>
      </c>
    </row>
    <row r="12" spans="1:7">
      <c r="A12" s="5">
        <v>6</v>
      </c>
      <c r="B12" s="1" t="s">
        <v>20</v>
      </c>
      <c r="C12" s="1" t="s">
        <v>21</v>
      </c>
      <c r="D12" s="6">
        <v>38183396</v>
      </c>
      <c r="E12" s="6">
        <v>29900000</v>
      </c>
      <c r="F12" s="7">
        <v>379</v>
      </c>
      <c r="G12" s="8">
        <f t="shared" si="0"/>
        <v>2.6579704046567079E-2</v>
      </c>
    </row>
    <row r="13" spans="1:7" ht="13.9" customHeight="1">
      <c r="A13" s="5">
        <v>7</v>
      </c>
      <c r="B13" s="1" t="s">
        <v>16</v>
      </c>
      <c r="C13" s="1" t="s">
        <v>22</v>
      </c>
      <c r="D13" s="6">
        <v>37864541</v>
      </c>
      <c r="E13" s="6">
        <v>29990000</v>
      </c>
      <c r="F13" s="7">
        <v>250</v>
      </c>
      <c r="G13" s="8">
        <f t="shared" si="0"/>
        <v>1.753278631040045E-2</v>
      </c>
    </row>
    <row r="14" spans="1:7" ht="13.9" customHeight="1">
      <c r="A14" s="9"/>
      <c r="B14" s="10" t="s">
        <v>23</v>
      </c>
      <c r="C14" s="10" t="s">
        <v>24</v>
      </c>
      <c r="D14" s="11">
        <v>37359549</v>
      </c>
      <c r="E14" s="11"/>
      <c r="F14" s="12">
        <v>9032</v>
      </c>
      <c r="G14" s="13">
        <f t="shared" si="0"/>
        <v>0.63342450382214743</v>
      </c>
    </row>
    <row r="16" spans="1:7" ht="16.899999999999999" customHeight="1">
      <c r="A16" s="15"/>
      <c r="B16" s="15"/>
      <c r="C16" s="15"/>
      <c r="D16" s="15"/>
      <c r="E16" s="15"/>
      <c r="F16" s="15"/>
    </row>
    <row r="17" spans="1:7" ht="16.899999999999999" customHeight="1">
      <c r="A17" s="16" t="s">
        <v>25</v>
      </c>
      <c r="B17" s="15"/>
      <c r="C17" s="15"/>
      <c r="D17" s="15"/>
      <c r="E17" s="15"/>
      <c r="F17" s="15"/>
      <c r="G17" s="15"/>
    </row>
    <row r="18" spans="1:7" ht="13.9" customHeight="1">
      <c r="A18" s="17" t="s">
        <v>26</v>
      </c>
      <c r="B18" s="15"/>
      <c r="C18" s="15"/>
      <c r="D18" s="15"/>
      <c r="E18" s="15"/>
      <c r="F18" s="15"/>
      <c r="G18" s="15"/>
    </row>
    <row r="19" spans="1:7" ht="13.9" customHeight="1">
      <c r="A19" s="2" t="s">
        <v>3</v>
      </c>
      <c r="B19" s="3" t="s">
        <v>4</v>
      </c>
      <c r="C19" s="3" t="s">
        <v>5</v>
      </c>
      <c r="D19" s="3" t="s">
        <v>6</v>
      </c>
      <c r="E19" s="14" t="s">
        <v>7</v>
      </c>
      <c r="F19" s="3" t="s">
        <v>8</v>
      </c>
      <c r="G19" s="4" t="s">
        <v>9</v>
      </c>
    </row>
    <row r="20" spans="1:7">
      <c r="A20" s="5">
        <v>1</v>
      </c>
      <c r="B20" s="1" t="s">
        <v>14</v>
      </c>
      <c r="C20" s="1" t="s">
        <v>27</v>
      </c>
      <c r="D20" s="6">
        <v>39343857</v>
      </c>
      <c r="E20" s="6">
        <v>32900000</v>
      </c>
      <c r="F20" s="7">
        <v>693</v>
      </c>
      <c r="G20" s="8">
        <f t="shared" ref="G20:G29" si="1">F20/SUM($F$20:$F$29)</f>
        <v>0.2462686567164179</v>
      </c>
    </row>
    <row r="21" spans="1:7">
      <c r="A21" s="5">
        <v>2</v>
      </c>
      <c r="B21" s="1" t="s">
        <v>28</v>
      </c>
      <c r="C21" s="1" t="s">
        <v>29</v>
      </c>
      <c r="D21" s="6">
        <v>46658331</v>
      </c>
      <c r="E21" s="6">
        <v>30500000</v>
      </c>
      <c r="F21" s="7">
        <v>177</v>
      </c>
      <c r="G21" s="8">
        <f>F21/SUM($F$20:$F$29)</f>
        <v>6.2899786780383798E-2</v>
      </c>
    </row>
    <row r="22" spans="1:7">
      <c r="A22" s="5">
        <v>3</v>
      </c>
      <c r="B22" s="1" t="s">
        <v>30</v>
      </c>
      <c r="C22" s="1" t="s">
        <v>31</v>
      </c>
      <c r="D22" s="6">
        <v>30110190</v>
      </c>
      <c r="E22" s="6">
        <v>22900000</v>
      </c>
      <c r="F22" s="7">
        <v>166</v>
      </c>
      <c r="G22" s="8">
        <f t="shared" si="1"/>
        <v>5.8990760483297794E-2</v>
      </c>
    </row>
    <row r="23" spans="1:7">
      <c r="A23" s="5">
        <v>4</v>
      </c>
      <c r="B23" s="1" t="s">
        <v>16</v>
      </c>
      <c r="C23" s="1" t="s">
        <v>32</v>
      </c>
      <c r="D23" s="6">
        <v>25560208</v>
      </c>
      <c r="E23" s="6">
        <v>19900000</v>
      </c>
      <c r="F23" s="7">
        <v>162</v>
      </c>
      <c r="G23" s="8">
        <f t="shared" si="1"/>
        <v>5.7569296375266525E-2</v>
      </c>
    </row>
    <row r="24" spans="1:7">
      <c r="A24" s="5">
        <v>5</v>
      </c>
      <c r="B24" s="1" t="s">
        <v>10</v>
      </c>
      <c r="C24" s="1" t="s">
        <v>33</v>
      </c>
      <c r="D24" s="6">
        <v>27182153</v>
      </c>
      <c r="E24" s="6">
        <v>21990000</v>
      </c>
      <c r="F24" s="7">
        <v>118</v>
      </c>
      <c r="G24" s="8">
        <f t="shared" si="1"/>
        <v>4.1933191186922528E-2</v>
      </c>
    </row>
    <row r="25" spans="1:7">
      <c r="A25" s="5">
        <v>6</v>
      </c>
      <c r="B25" s="1" t="s">
        <v>34</v>
      </c>
      <c r="C25" s="1" t="s">
        <v>35</v>
      </c>
      <c r="D25" s="6">
        <v>46120874</v>
      </c>
      <c r="E25" s="6">
        <v>28900000</v>
      </c>
      <c r="F25" s="7">
        <v>112</v>
      </c>
      <c r="G25" s="8">
        <f t="shared" si="1"/>
        <v>3.9800995024875621E-2</v>
      </c>
    </row>
    <row r="26" spans="1:7">
      <c r="A26" s="5">
        <v>7</v>
      </c>
      <c r="B26" s="1" t="s">
        <v>36</v>
      </c>
      <c r="C26" s="1" t="s">
        <v>37</v>
      </c>
      <c r="D26" s="6">
        <v>31884137</v>
      </c>
      <c r="E26" s="6">
        <v>25990000</v>
      </c>
      <c r="F26" s="7">
        <v>96</v>
      </c>
      <c r="G26" s="8">
        <f t="shared" si="1"/>
        <v>3.4115138592750532E-2</v>
      </c>
    </row>
    <row r="27" spans="1:7">
      <c r="A27" s="5">
        <v>8</v>
      </c>
      <c r="B27" s="1" t="s">
        <v>38</v>
      </c>
      <c r="C27" s="1" t="s">
        <v>39</v>
      </c>
      <c r="D27" s="6">
        <v>42501148</v>
      </c>
      <c r="E27" s="6">
        <v>29100000</v>
      </c>
      <c r="F27" s="7">
        <v>51</v>
      </c>
      <c r="G27" s="8">
        <f t="shared" si="1"/>
        <v>1.8123667377398719E-2</v>
      </c>
    </row>
    <row r="28" spans="1:7" ht="13.9" customHeight="1">
      <c r="A28" s="5">
        <v>9</v>
      </c>
      <c r="B28" s="1" t="s">
        <v>40</v>
      </c>
      <c r="C28" s="1" t="s">
        <v>41</v>
      </c>
      <c r="D28" s="6">
        <v>31927052</v>
      </c>
      <c r="E28" s="6">
        <v>19900000</v>
      </c>
      <c r="F28" s="7">
        <v>50</v>
      </c>
      <c r="G28" s="8">
        <f t="shared" si="1"/>
        <v>1.7768301350390904E-2</v>
      </c>
    </row>
    <row r="29" spans="1:7" ht="13.9" customHeight="1">
      <c r="A29" s="9"/>
      <c r="B29" s="10" t="s">
        <v>23</v>
      </c>
      <c r="C29" s="10" t="s">
        <v>24</v>
      </c>
      <c r="D29" s="11">
        <v>33014880</v>
      </c>
      <c r="E29" s="11"/>
      <c r="F29" s="12">
        <v>1189</v>
      </c>
      <c r="G29" s="13">
        <f t="shared" si="1"/>
        <v>0.42253020611229569</v>
      </c>
    </row>
  </sheetData>
  <mergeCells count="6">
    <mergeCell ref="A16:F16"/>
    <mergeCell ref="A17:G17"/>
    <mergeCell ref="A18:G18"/>
    <mergeCell ref="A3:G3"/>
    <mergeCell ref="A1:F1"/>
    <mergeCell ref="A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Tomas Hirschberg</cp:lastModifiedBy>
  <dcterms:created xsi:type="dcterms:W3CDTF">2026-07-13T18:55:32Z</dcterms:created>
  <dcterms:modified xsi:type="dcterms:W3CDTF">2026-07-14T02:05:56Z</dcterms:modified>
</cp:coreProperties>
</file>
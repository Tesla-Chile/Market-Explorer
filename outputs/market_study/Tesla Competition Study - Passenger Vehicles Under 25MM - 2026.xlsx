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 Vehicle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1F1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24" customWidth="1" min="4" max="4"/>
    <col width="18" customWidth="1" min="5" max="5"/>
    <col width="20" customWidth="1" min="6" max="6"/>
    <col width="12" customWidth="1" min="7" max="7"/>
  </cols>
  <sheetData>
    <row r="1" ht="24" customHeight="1">
      <c r="A1" s="1" t="inlineStr">
        <is>
          <t>Tesla Competition Study | Passenger Vehicles | 2026</t>
        </is>
      </c>
    </row>
    <row r="3" ht="24" customHeight="1">
      <c r="A3" s="2" t="inlineStr">
        <is>
          <t>Passenger Vehicles | bracket $0 to $25,000,000 CLP | 2026</t>
        </is>
      </c>
    </row>
    <row r="4" ht="24" customHeight="1">
      <c r="A4" s="2" t="inlineStr">
        <is>
          <t>2026: 20,281 Annual Demand | Models considered: 43</t>
        </is>
      </c>
    </row>
    <row r="6">
      <c r="A6" s="3" t="inlineStr">
        <is>
          <t>Ranking</t>
        </is>
      </c>
      <c r="B6" s="3" t="inlineStr">
        <is>
          <t>Brand</t>
        </is>
      </c>
      <c r="C6" s="3" t="inlineStr">
        <is>
          <t>Model</t>
        </is>
      </c>
      <c r="D6" s="3" t="inlineStr">
        <is>
          <t>Average Anac List Price</t>
        </is>
      </c>
      <c r="E6" s="3" t="inlineStr">
        <is>
          <t>Starting price</t>
        </is>
      </c>
      <c r="F6" s="3" t="inlineStr">
        <is>
          <t>Annual Demand 2026</t>
        </is>
      </c>
      <c r="G6" s="3" t="inlineStr">
        <is>
          <t>MS 2026</t>
        </is>
      </c>
    </row>
    <row r="7">
      <c r="A7" s="4" t="n">
        <v>1</v>
      </c>
      <c r="B7" s="5" t="inlineStr">
        <is>
          <t>SUZUKI</t>
        </is>
      </c>
      <c r="C7" s="5" t="inlineStr">
        <is>
          <t>SWIFT</t>
        </is>
      </c>
      <c r="D7" s="6" t="n">
        <v>15878331.79620677</v>
      </c>
      <c r="E7" s="6" t="n"/>
      <c r="F7" s="7" t="n">
        <v>2689</v>
      </c>
      <c r="G7" s="8">
        <f>F7/SUM($F$7:$F$17)</f>
        <v/>
      </c>
    </row>
    <row r="8">
      <c r="A8" s="4" t="n">
        <v>2</v>
      </c>
      <c r="B8" s="5" t="inlineStr">
        <is>
          <t>KIA</t>
        </is>
      </c>
      <c r="C8" s="5" t="inlineStr">
        <is>
          <t>SOLUTO</t>
        </is>
      </c>
      <c r="D8" s="6" t="n">
        <v>11471055.53367468</v>
      </c>
      <c r="E8" s="6" t="n"/>
      <c r="F8" s="7" t="n">
        <v>2539</v>
      </c>
      <c r="G8" s="8">
        <f>F8/SUM($F$7:$F$17)</f>
        <v/>
      </c>
    </row>
    <row r="9">
      <c r="A9" s="4" t="n">
        <v>3</v>
      </c>
      <c r="B9" s="5" t="inlineStr">
        <is>
          <t>HYUNDAI</t>
        </is>
      </c>
      <c r="C9" s="5" t="inlineStr">
        <is>
          <t>GRAND I-10 AI3 HB</t>
        </is>
      </c>
      <c r="D9" s="6" t="n">
        <v>11984491.71518137</v>
      </c>
      <c r="E9" s="6" t="n"/>
      <c r="F9" s="7" t="n">
        <v>2233</v>
      </c>
      <c r="G9" s="8">
        <f>F9/SUM($F$7:$F$17)</f>
        <v/>
      </c>
    </row>
    <row r="10">
      <c r="A10" s="4" t="n">
        <v>4</v>
      </c>
      <c r="B10" s="5" t="inlineStr">
        <is>
          <t>CHEVROLET</t>
        </is>
      </c>
      <c r="C10" s="5" t="inlineStr">
        <is>
          <t>SAIL</t>
        </is>
      </c>
      <c r="D10" s="6" t="n">
        <v>13344897.87234043</v>
      </c>
      <c r="E10" s="6" t="n"/>
      <c r="F10" s="7" t="n">
        <v>1927</v>
      </c>
      <c r="G10" s="8">
        <f>F10/SUM($F$7:$F$17)</f>
        <v/>
      </c>
    </row>
    <row r="11">
      <c r="A11" s="4" t="n">
        <v>5</v>
      </c>
      <c r="B11" s="5" t="inlineStr">
        <is>
          <t>TOYOTA</t>
        </is>
      </c>
      <c r="C11" s="5" t="inlineStr">
        <is>
          <t>YARIS</t>
        </is>
      </c>
      <c r="D11" s="6" t="n">
        <v>15752680.11527378</v>
      </c>
      <c r="E11" s="6" t="n"/>
      <c r="F11" s="7" t="n">
        <v>1388</v>
      </c>
      <c r="G11" s="8">
        <f>F11/SUM($F$7:$F$17)</f>
        <v/>
      </c>
    </row>
    <row r="12">
      <c r="A12" s="4" t="n">
        <v>6</v>
      </c>
      <c r="B12" s="5" t="inlineStr">
        <is>
          <t>SUZUKI</t>
        </is>
      </c>
      <c r="C12" s="5" t="inlineStr">
        <is>
          <t>CELERIO</t>
        </is>
      </c>
      <c r="D12" s="6" t="n">
        <v>11997201.32978723</v>
      </c>
      <c r="E12" s="6" t="n"/>
      <c r="F12" s="7" t="n">
        <v>1128</v>
      </c>
      <c r="G12" s="8">
        <f>F12/SUM($F$7:$F$17)</f>
        <v/>
      </c>
    </row>
    <row r="13">
      <c r="A13" s="4" t="n">
        <v>7</v>
      </c>
      <c r="B13" s="5" t="inlineStr">
        <is>
          <t>SUZUKI</t>
        </is>
      </c>
      <c r="C13" s="5" t="inlineStr">
        <is>
          <t>NUEVO ALTO</t>
        </is>
      </c>
      <c r="D13" s="6" t="n">
        <v>9297932.226322263</v>
      </c>
      <c r="E13" s="6" t="n"/>
      <c r="F13" s="7" t="n">
        <v>813</v>
      </c>
      <c r="G13" s="8">
        <f>F13/SUM($F$7:$F$17)</f>
        <v/>
      </c>
    </row>
    <row r="14">
      <c r="A14" s="4" t="n">
        <v>8</v>
      </c>
      <c r="B14" s="5" t="inlineStr">
        <is>
          <t>HYUNDAI</t>
        </is>
      </c>
      <c r="C14" s="5" t="inlineStr">
        <is>
          <t>ACCENT BN7I</t>
        </is>
      </c>
      <c r="D14" s="6" t="n">
        <v>16139744.89795918</v>
      </c>
      <c r="E14" s="6" t="n"/>
      <c r="F14" s="7" t="n">
        <v>784</v>
      </c>
      <c r="G14" s="8">
        <f>F14/SUM($F$7:$F$17)</f>
        <v/>
      </c>
    </row>
    <row r="15">
      <c r="A15" s="4" t="n">
        <v>9</v>
      </c>
      <c r="B15" s="5" t="inlineStr">
        <is>
          <t>KIA</t>
        </is>
      </c>
      <c r="C15" s="5" t="inlineStr">
        <is>
          <t>MORNING</t>
        </is>
      </c>
      <c r="D15" s="6" t="n">
        <v>12300829.81715893</v>
      </c>
      <c r="E15" s="6" t="n"/>
      <c r="F15" s="7" t="n">
        <v>711</v>
      </c>
      <c r="G15" s="8">
        <f>F15/SUM($F$7:$F$17)</f>
        <v/>
      </c>
    </row>
    <row r="16">
      <c r="A16" s="4" t="n">
        <v>10</v>
      </c>
      <c r="B16" s="5" t="inlineStr">
        <is>
          <t>MG</t>
        </is>
      </c>
      <c r="C16" s="5" t="inlineStr">
        <is>
          <t>NEW MG3</t>
        </is>
      </c>
      <c r="D16" s="6" t="n">
        <v>17090152.7131783</v>
      </c>
      <c r="E16" s="6" t="n"/>
      <c r="F16" s="7" t="n">
        <v>645</v>
      </c>
      <c r="G16" s="8">
        <f>F16/SUM($F$7:$F$17)</f>
        <v/>
      </c>
    </row>
    <row r="17">
      <c r="A17" s="4" t="n"/>
      <c r="B17" s="5" t="inlineStr">
        <is>
          <t>Rest</t>
        </is>
      </c>
      <c r="C17" s="5" t="inlineStr">
        <is>
          <t>Resting Models</t>
        </is>
      </c>
      <c r="D17" s="6" t="n">
        <v>17258991.32853982</v>
      </c>
      <c r="E17" s="6" t="n"/>
      <c r="F17" s="7" t="n">
        <v>5424</v>
      </c>
      <c r="G17" s="8">
        <f>F17/SUM($F$7:$F$17)</f>
        <v/>
      </c>
    </row>
  </sheetData>
  <mergeCells count="3">
    <mergeCell ref="A3:G3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2026-07-14T15:01:49Z</dcterms:created>
  <dcterms:modified xmlns:dcterms="http://purl.org/dc/terms/" xmlns:xsi="http://www.w3.org/2001/XMLSchema-instance" xsi:type="dcterms:W3CDTF">2026-07-14T15:01:49Z</dcterms:modified>
</cp:coreProperties>
</file>